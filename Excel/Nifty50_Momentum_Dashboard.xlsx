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backtest_results" sheetId="2" r:id="rId6"/>
    <sheet state="visible" name="ml_comparison" sheetId="3" r:id="rId7"/>
    <sheet state="visible" name="top_picks_frequency" sheetId="4" r:id="rId8"/>
    <sheet state="visible" name="Charts" sheetId="5" r:id="rId9"/>
  </sheets>
  <definedNames/>
  <calcPr/>
</workbook>
</file>

<file path=xl/sharedStrings.xml><?xml version="1.0" encoding="utf-8"?>
<sst xmlns="http://schemas.openxmlformats.org/spreadsheetml/2006/main" count="77" uniqueCount="71">
  <si>
    <t>Metric</t>
  </si>
  <si>
    <t>Rules-Based</t>
  </si>
  <si>
    <t>ML Strategy</t>
  </si>
  <si>
    <t>Nifty 50 Index</t>
  </si>
  <si>
    <t>Months Tested</t>
  </si>
  <si>
    <t>Hit Rate</t>
  </si>
  <si>
    <t>—</t>
  </si>
  <si>
    <t>Cumulative Return</t>
  </si>
  <si>
    <t>Avg Monthly Return</t>
  </si>
  <si>
    <t>Best Month</t>
  </si>
  <si>
    <t>Worst Month</t>
  </si>
  <si>
    <t>holding_month</t>
  </si>
  <si>
    <t>portfolio_return</t>
  </si>
  <si>
    <t>benchmark_return</t>
  </si>
  <si>
    <t>beat</t>
  </si>
  <si>
    <t>HIT RATE :</t>
  </si>
  <si>
    <t>month</t>
  </si>
  <si>
    <t>ml_return</t>
  </si>
  <si>
    <t>rules_return</t>
  </si>
  <si>
    <t>index_ret</t>
  </si>
  <si>
    <t>Beat</t>
  </si>
  <si>
    <t>ticker</t>
  </si>
  <si>
    <t>times_picked</t>
  </si>
  <si>
    <t>SHRIRAMFIN</t>
  </si>
  <si>
    <t>ADANIPORTS</t>
  </si>
  <si>
    <t>NTPC</t>
  </si>
  <si>
    <t>BHARTIARTL</t>
  </si>
  <si>
    <t>M&amp;M</t>
  </si>
  <si>
    <t>HEROMOTOCO</t>
  </si>
  <si>
    <t>HINDALCO</t>
  </si>
  <si>
    <t>BAJAJ-AUTO</t>
  </si>
  <si>
    <t>ONGC</t>
  </si>
  <si>
    <t>EICHERMOT</t>
  </si>
  <si>
    <t>COALINDIA</t>
  </si>
  <si>
    <t>BPCL</t>
  </si>
  <si>
    <t>TMPV</t>
  </si>
  <si>
    <t>SBIN</t>
  </si>
  <si>
    <t>DIVISLAB</t>
  </si>
  <si>
    <t>TATASTEEL</t>
  </si>
  <si>
    <t>POWERGRID</t>
  </si>
  <si>
    <t>HDFCLIFE</t>
  </si>
  <si>
    <t>BAJFINANCE</t>
  </si>
  <si>
    <t>MARUTI</t>
  </si>
  <si>
    <t>LT</t>
  </si>
  <si>
    <t>INDUSINDBK</t>
  </si>
  <si>
    <t>TITAN</t>
  </si>
  <si>
    <t>TECHM</t>
  </si>
  <si>
    <t>SBILIFE</t>
  </si>
  <si>
    <t>KOTAKBANK</t>
  </si>
  <si>
    <t>JSWSTEEL</t>
  </si>
  <si>
    <t>BRITANNIA</t>
  </si>
  <si>
    <t>BAJAJFINSV</t>
  </si>
  <si>
    <t>SUNPHARMA</t>
  </si>
  <si>
    <t>HDFCBANK</t>
  </si>
  <si>
    <t>HCLTECH</t>
  </si>
  <si>
    <t>ADANIENT</t>
  </si>
  <si>
    <t>WIPRO</t>
  </si>
  <si>
    <t>TATACONSUM</t>
  </si>
  <si>
    <t>ICICIBANK</t>
  </si>
  <si>
    <t>DRREDDY</t>
  </si>
  <si>
    <t>APOLLOHOSP</t>
  </si>
  <si>
    <t>NESTLEIND</t>
  </si>
  <si>
    <t>INFY</t>
  </si>
  <si>
    <t>CIPLA</t>
  </si>
  <si>
    <t>ULTRACEMCO</t>
  </si>
  <si>
    <t>ITC</t>
  </si>
  <si>
    <t>GRASIM</t>
  </si>
  <si>
    <t>AXISBANK</t>
  </si>
  <si>
    <t>ASIANPAINT</t>
  </si>
  <si>
    <t>RELIANCE</t>
  </si>
  <si>
    <t>HINDUNILVR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</si>
</sst>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"/>
    <numFmt numFmtId="165" formatCode="yyyy-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2" fontId="1" numFmtId="10" xfId="0" applyFont="1" applyNumberFormat="1"/>
    <xf borderId="0" fillId="0" fontId="2" numFmtId="0" xfId="0" applyFont="1"/>
    <xf borderId="0" fillId="3" fontId="1" numFmtId="0" xfId="0" applyAlignment="1" applyFill="1" applyFont="1">
      <alignment readingOrder="0"/>
    </xf>
    <xf borderId="0" fillId="3" fontId="1" numFmtId="10" xfId="0" applyFont="1" applyNumberFormat="1"/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9</xdr:row>
      <xdr:rowOff>0</xdr:rowOff>
    </xdr:from>
    <xdr:ext cx="5715000" cy="2857500"/>
    <xdr:pic>
      <xdr:nvPicPr>
        <xdr:cNvPr id="201988818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</xdr:row>
      <xdr:rowOff>0</xdr:rowOff>
    </xdr:from>
    <xdr:ext cx="5715000" cy="2857500"/>
    <xdr:pic>
      <xdr:nvPicPr>
        <xdr:cNvPr id="41485926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</xdr:row>
      <xdr:rowOff>0</xdr:rowOff>
    </xdr:from>
    <xdr:ext cx="5715000" cy="3810000"/>
    <xdr:pic>
      <xdr:nvPicPr>
        <xdr:cNvPr id="899344171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304800</xdr:colOff>
      <xdr:row>1</xdr:row>
      <xdr:rowOff>180975</xdr:rowOff>
    </xdr:from>
    <xdr:ext cx="6829425" cy="35433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20</xdr:row>
      <xdr:rowOff>161925</xdr:rowOff>
    </xdr:from>
    <xdr:ext cx="6924675" cy="27908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161925</xdr:colOff>
      <xdr:row>3</xdr:row>
      <xdr:rowOff>19050</xdr:rowOff>
    </xdr:from>
    <xdr:ext cx="5734050" cy="3543300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885825</xdr:colOff>
      <xdr:row>21</xdr:row>
      <xdr:rowOff>200025</xdr:rowOff>
    </xdr:from>
    <xdr:ext cx="6210300" cy="2552700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25.38"/>
  </cols>
  <sheetData>
    <row r="1">
      <c r="A1" s="1"/>
      <c r="B1" s="1" t="s">
        <v>0</v>
      </c>
      <c r="C1" s="2" t="s">
        <v>1</v>
      </c>
      <c r="D1" s="2" t="s">
        <v>2</v>
      </c>
      <c r="E1" s="2" t="s">
        <v>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/>
      <c r="B2" s="4" t="s">
        <v>4</v>
      </c>
      <c r="C2" s="4">
        <v>35.0</v>
      </c>
      <c r="D2" s="4">
        <v>17.0</v>
      </c>
      <c r="E2" s="4">
        <v>35.0</v>
      </c>
    </row>
    <row r="3">
      <c r="A3" s="4"/>
      <c r="B3" s="4" t="s">
        <v>5</v>
      </c>
      <c r="C3" s="5">
        <v>0.657</v>
      </c>
      <c r="D3" s="5">
        <v>0.412</v>
      </c>
      <c r="E3" s="4" t="s">
        <v>6</v>
      </c>
    </row>
    <row r="4">
      <c r="A4" s="4"/>
      <c r="B4" s="4" t="s">
        <v>7</v>
      </c>
      <c r="C4" s="5">
        <v>0.396</v>
      </c>
      <c r="D4" s="5">
        <v>0.094</v>
      </c>
      <c r="E4" s="5">
        <v>-0.0041</v>
      </c>
    </row>
    <row r="5">
      <c r="A5" s="4"/>
      <c r="B5" s="4" t="s">
        <v>8</v>
      </c>
      <c r="C5" s="5">
        <v>0.0108</v>
      </c>
      <c r="D5" s="4" t="s">
        <v>6</v>
      </c>
      <c r="E5" s="5">
        <v>0.0065</v>
      </c>
    </row>
    <row r="6">
      <c r="A6" s="4"/>
      <c r="B6" s="4" t="s">
        <v>9</v>
      </c>
      <c r="C6" s="5">
        <v>0.0973</v>
      </c>
      <c r="D6" s="4" t="s">
        <v>6</v>
      </c>
      <c r="E6" s="4" t="s">
        <v>6</v>
      </c>
    </row>
    <row r="7">
      <c r="A7" s="4"/>
      <c r="B7" s="4" t="s">
        <v>10</v>
      </c>
      <c r="C7" s="5">
        <v>-0.1435</v>
      </c>
      <c r="D7" s="4" t="s">
        <v>6</v>
      </c>
      <c r="E7" s="4" t="s">
        <v>6</v>
      </c>
    </row>
    <row r="25">
      <c r="A25" s="6"/>
      <c r="B25" s="6"/>
      <c r="C25" s="6"/>
      <c r="D25" s="6"/>
    </row>
    <row r="26">
      <c r="A26" s="6"/>
      <c r="B26" s="6"/>
      <c r="C26" s="6"/>
      <c r="D26" s="6"/>
    </row>
    <row r="27">
      <c r="A27" s="6"/>
      <c r="B27" s="6"/>
      <c r="C27" s="6"/>
      <c r="D27" s="6"/>
    </row>
    <row r="28">
      <c r="A28" s="6"/>
      <c r="B28" s="6"/>
      <c r="C28" s="6"/>
      <c r="D28" s="6"/>
    </row>
    <row r="29">
      <c r="A29" s="6"/>
      <c r="B29" s="6"/>
      <c r="C29" s="6"/>
      <c r="D29" s="6"/>
    </row>
    <row r="30">
      <c r="A30" s="6"/>
      <c r="B30" s="6"/>
      <c r="C30" s="6"/>
      <c r="D30" s="6"/>
    </row>
    <row r="31">
      <c r="A31" s="6"/>
      <c r="B31" s="6"/>
      <c r="C31" s="6"/>
      <c r="D31" s="6"/>
    </row>
    <row r="32">
      <c r="A32" s="6"/>
      <c r="B32" s="6"/>
      <c r="C32" s="6"/>
      <c r="D32" s="6"/>
    </row>
    <row r="33">
      <c r="A33" s="6"/>
      <c r="B33" s="6"/>
      <c r="C33" s="6"/>
      <c r="D33" s="6"/>
    </row>
    <row r="34">
      <c r="A34" s="6"/>
      <c r="B34" s="6"/>
      <c r="C34" s="6"/>
      <c r="D34" s="6"/>
    </row>
    <row r="35">
      <c r="A35" s="6"/>
      <c r="B35" s="6"/>
      <c r="C35" s="6"/>
      <c r="D35" s="6"/>
    </row>
    <row r="36">
      <c r="A36" s="6"/>
      <c r="B36" s="6"/>
      <c r="C36" s="6"/>
      <c r="D36" s="6"/>
    </row>
    <row r="37">
      <c r="A37" s="6"/>
      <c r="B37" s="6"/>
      <c r="C37" s="6"/>
      <c r="D37" s="6"/>
    </row>
    <row r="38">
      <c r="A38" s="6"/>
      <c r="B38" s="6"/>
      <c r="C38" s="6"/>
      <c r="D38" s="6"/>
    </row>
    <row r="39">
      <c r="A39" s="6"/>
      <c r="B39" s="6"/>
      <c r="C39" s="6"/>
      <c r="D39" s="6"/>
    </row>
    <row r="40">
      <c r="A40" s="6"/>
      <c r="B40" s="6"/>
      <c r="C40" s="6"/>
      <c r="D40" s="6"/>
    </row>
    <row r="41">
      <c r="A41" s="6"/>
      <c r="B41" s="6"/>
      <c r="C41" s="6"/>
      <c r="D41" s="6"/>
    </row>
    <row r="42">
      <c r="A42" s="6"/>
      <c r="B42" s="6"/>
      <c r="C42" s="6"/>
      <c r="D42" s="6"/>
    </row>
    <row r="43">
      <c r="A43" s="6"/>
      <c r="B43" s="6"/>
      <c r="C43" s="6"/>
      <c r="D43" s="6"/>
    </row>
    <row r="44">
      <c r="A44" s="6"/>
      <c r="B44" s="6"/>
      <c r="C44" s="6"/>
      <c r="D44" s="6"/>
    </row>
    <row r="45">
      <c r="A45" s="6"/>
      <c r="B45" s="6"/>
      <c r="C45" s="6"/>
      <c r="D45" s="6"/>
    </row>
    <row r="46">
      <c r="A46" s="6"/>
      <c r="B46" s="6"/>
      <c r="C46" s="6"/>
      <c r="D46" s="6"/>
    </row>
    <row r="47">
      <c r="A47" s="6"/>
      <c r="B47" s="6"/>
      <c r="C47" s="6"/>
      <c r="D47" s="6"/>
    </row>
    <row r="48">
      <c r="A48" s="6"/>
      <c r="B48" s="6"/>
      <c r="C48" s="6"/>
      <c r="D48" s="6"/>
    </row>
    <row r="49">
      <c r="A49" s="6"/>
      <c r="B49" s="6"/>
      <c r="C49" s="6"/>
      <c r="D49" s="6"/>
    </row>
    <row r="50">
      <c r="A50" s="6"/>
      <c r="B50" s="6"/>
      <c r="C50" s="6"/>
      <c r="D50" s="6"/>
    </row>
    <row r="51">
      <c r="A51" s="6"/>
      <c r="B51" s="6"/>
      <c r="C51" s="6"/>
      <c r="D51" s="6"/>
    </row>
    <row r="52">
      <c r="A52" s="6"/>
      <c r="B52" s="6"/>
      <c r="C52" s="6"/>
      <c r="D52" s="6"/>
    </row>
    <row r="53">
      <c r="A53" s="6"/>
      <c r="B53" s="6"/>
      <c r="C53" s="6"/>
      <c r="D53" s="6"/>
    </row>
    <row r="54">
      <c r="A54" s="6"/>
      <c r="B54" s="6"/>
      <c r="C54" s="6"/>
      <c r="D54" s="6"/>
    </row>
    <row r="55">
      <c r="A55" s="6"/>
      <c r="B55" s="6"/>
      <c r="C55" s="6"/>
      <c r="D55" s="6"/>
    </row>
    <row r="56">
      <c r="A56" s="6"/>
      <c r="B56" s="6"/>
      <c r="C56" s="6"/>
      <c r="D56" s="6"/>
    </row>
    <row r="57">
      <c r="A57" s="6"/>
      <c r="B57" s="6"/>
      <c r="C57" s="6"/>
      <c r="D57" s="6"/>
    </row>
    <row r="58">
      <c r="A58" s="6"/>
      <c r="B58" s="6"/>
      <c r="C58" s="6"/>
      <c r="D58" s="6"/>
    </row>
    <row r="59">
      <c r="A59" s="6"/>
      <c r="B59" s="6"/>
      <c r="C59" s="6"/>
      <c r="D59" s="6"/>
    </row>
    <row r="60">
      <c r="A60" s="6"/>
      <c r="B60" s="6"/>
      <c r="C60" s="6"/>
      <c r="D6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18.38"/>
    <col customWidth="1" min="3" max="3" width="21.38"/>
  </cols>
  <sheetData>
    <row r="1">
      <c r="A1" s="2" t="s">
        <v>11</v>
      </c>
      <c r="B1" s="2" t="s">
        <v>12</v>
      </c>
      <c r="C1" s="2" t="s">
        <v>13</v>
      </c>
      <c r="D1" s="2" t="s">
        <v>14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7">
        <v>45139.0</v>
      </c>
      <c r="B2" s="4">
        <v>-0.0133813253374421</v>
      </c>
      <c r="C2" s="4">
        <v>-0.0253115856189695</v>
      </c>
      <c r="D2" s="4">
        <v>1.0</v>
      </c>
    </row>
    <row r="3">
      <c r="A3" s="7">
        <v>45170.0</v>
      </c>
      <c r="B3" s="4">
        <v>0.0259017605860857</v>
      </c>
      <c r="C3" s="4">
        <v>0.019970083827608</v>
      </c>
      <c r="D3" s="4">
        <v>1.0</v>
      </c>
    </row>
    <row r="4">
      <c r="A4" s="8">
        <v>45200.0</v>
      </c>
      <c r="B4" s="4">
        <v>-0.0272502596133024</v>
      </c>
      <c r="C4" s="4">
        <v>-0.0284495093770845</v>
      </c>
      <c r="D4" s="4">
        <v>1.0</v>
      </c>
    </row>
    <row r="5">
      <c r="A5" s="8">
        <v>45231.0</v>
      </c>
      <c r="B5" s="4">
        <v>0.0829088230652501</v>
      </c>
      <c r="C5" s="4">
        <v>0.0552186628650497</v>
      </c>
      <c r="D5" s="4">
        <v>1.0</v>
      </c>
    </row>
    <row r="6">
      <c r="A6" s="8">
        <v>45261.0</v>
      </c>
      <c r="B6" s="4">
        <v>0.0972899950902618</v>
      </c>
      <c r="C6" s="4">
        <v>0.0793840010132542</v>
      </c>
      <c r="D6" s="4">
        <v>1.0</v>
      </c>
    </row>
    <row r="7">
      <c r="A7" s="7">
        <v>45292.0</v>
      </c>
      <c r="B7" s="4">
        <v>0.0785045355262473</v>
      </c>
      <c r="C7" s="4">
        <v>-2.62293271487412E-4</v>
      </c>
      <c r="D7" s="4">
        <v>1.0</v>
      </c>
    </row>
    <row r="8">
      <c r="A8" s="7">
        <v>45323.0</v>
      </c>
      <c r="B8" s="4">
        <v>0.055595949853489</v>
      </c>
      <c r="C8" s="4">
        <v>0.0118339109902096</v>
      </c>
      <c r="D8" s="4">
        <v>1.0</v>
      </c>
    </row>
    <row r="9">
      <c r="A9" s="7">
        <v>45352.0</v>
      </c>
      <c r="B9" s="4">
        <v>0.0189799389341961</v>
      </c>
      <c r="C9" s="4">
        <v>0.0156531470058409</v>
      </c>
      <c r="D9" s="4">
        <v>1.0</v>
      </c>
    </row>
    <row r="10">
      <c r="A10" s="7">
        <v>45383.0</v>
      </c>
      <c r="B10" s="4">
        <v>0.014649646319313</v>
      </c>
      <c r="C10" s="4">
        <v>0.0124491084745306</v>
      </c>
      <c r="D10" s="4">
        <v>1.0</v>
      </c>
    </row>
    <row r="11">
      <c r="A11" s="7">
        <v>45413.0</v>
      </c>
      <c r="B11" s="4">
        <v>0.0298831536918099</v>
      </c>
      <c r="C11" s="4">
        <v>-0.00328026949968696</v>
      </c>
      <c r="D11" s="4">
        <v>1.0</v>
      </c>
    </row>
    <row r="12">
      <c r="A12" s="7">
        <v>45444.0</v>
      </c>
      <c r="B12" s="4">
        <v>0.0262050429386115</v>
      </c>
      <c r="C12" s="4">
        <v>0.0656837115580073</v>
      </c>
      <c r="D12" s="4">
        <v>0.0</v>
      </c>
    </row>
    <row r="13">
      <c r="A13" s="7">
        <v>45474.0</v>
      </c>
      <c r="B13" s="4">
        <v>0.0567383317944568</v>
      </c>
      <c r="C13" s="4">
        <v>0.0391722822420099</v>
      </c>
      <c r="D13" s="4">
        <v>1.0</v>
      </c>
    </row>
    <row r="14">
      <c r="A14" s="7">
        <v>45505.0</v>
      </c>
      <c r="B14" s="4">
        <v>-0.0180456741286858</v>
      </c>
      <c r="C14" s="4">
        <v>0.0114122996334837</v>
      </c>
      <c r="D14" s="4">
        <v>0.0</v>
      </c>
    </row>
    <row r="15">
      <c r="A15" s="7">
        <v>45536.0</v>
      </c>
      <c r="B15" s="4">
        <v>0.0424365066961508</v>
      </c>
      <c r="C15" s="4">
        <v>0.0227830194286708</v>
      </c>
      <c r="D15" s="4">
        <v>1.0</v>
      </c>
    </row>
    <row r="16">
      <c r="A16" s="8">
        <v>45566.0</v>
      </c>
      <c r="B16" s="4">
        <v>-0.0923327559706039</v>
      </c>
      <c r="C16" s="4">
        <v>-0.0622025233574252</v>
      </c>
      <c r="D16" s="4">
        <v>0.0</v>
      </c>
    </row>
    <row r="17">
      <c r="A17" s="8">
        <v>45597.0</v>
      </c>
      <c r="B17" s="4">
        <v>0.00136335956869065</v>
      </c>
      <c r="C17" s="4">
        <v>-0.00306750367170893</v>
      </c>
      <c r="D17" s="4">
        <v>1.0</v>
      </c>
    </row>
    <row r="18">
      <c r="A18" s="8">
        <v>45627.0</v>
      </c>
      <c r="B18" s="4">
        <v>0.00223564480470539</v>
      </c>
      <c r="C18" s="4">
        <v>-0.020152417419844</v>
      </c>
      <c r="D18" s="4">
        <v>1.0</v>
      </c>
    </row>
    <row r="19">
      <c r="A19" s="7">
        <v>45658.0</v>
      </c>
      <c r="B19" s="4">
        <v>-0.0486777661948427</v>
      </c>
      <c r="C19" s="4">
        <v>-0.00576871024495861</v>
      </c>
      <c r="D19" s="4">
        <v>0.0</v>
      </c>
    </row>
    <row r="20">
      <c r="A20" s="7">
        <v>45689.0</v>
      </c>
      <c r="B20" s="4">
        <v>-0.0260428123528783</v>
      </c>
      <c r="C20" s="4">
        <v>-0.0588598118119481</v>
      </c>
      <c r="D20" s="4">
        <v>1.0</v>
      </c>
    </row>
    <row r="21">
      <c r="A21" s="7">
        <v>45717.0</v>
      </c>
      <c r="B21" s="4">
        <v>0.0720241855156459</v>
      </c>
      <c r="C21" s="4">
        <v>0.0630358829724244</v>
      </c>
      <c r="D21" s="4">
        <v>1.0</v>
      </c>
    </row>
    <row r="22">
      <c r="A22" s="7">
        <v>45748.0</v>
      </c>
      <c r="B22" s="4">
        <v>0.0227122873979288</v>
      </c>
      <c r="C22" s="4">
        <v>0.0346459404702936</v>
      </c>
      <c r="D22" s="4">
        <v>0.0</v>
      </c>
    </row>
    <row r="23">
      <c r="A23" s="7">
        <v>45778.0</v>
      </c>
      <c r="B23" s="4">
        <v>-6.04888293336702E-4</v>
      </c>
      <c r="C23" s="4">
        <v>0.0171158287513046</v>
      </c>
      <c r="D23" s="4">
        <v>0.0</v>
      </c>
    </row>
    <row r="24">
      <c r="A24" s="7">
        <v>45809.0</v>
      </c>
      <c r="B24" s="4">
        <v>0.0286704798425999</v>
      </c>
      <c r="C24" s="4">
        <v>0.0309627606491937</v>
      </c>
      <c r="D24" s="4">
        <v>0.0</v>
      </c>
    </row>
    <row r="25">
      <c r="A25" s="7">
        <v>45839.0</v>
      </c>
      <c r="B25" s="4">
        <v>-0.0533518030685588</v>
      </c>
      <c r="C25" s="4">
        <v>-0.029341166004691</v>
      </c>
      <c r="D25" s="4">
        <v>0.0</v>
      </c>
    </row>
    <row r="26">
      <c r="A26" s="7">
        <v>45870.0</v>
      </c>
      <c r="B26" s="4">
        <v>-0.0404410337020034</v>
      </c>
      <c r="C26" s="4">
        <v>-0.0137877573596949</v>
      </c>
      <c r="D26" s="4">
        <v>0.0</v>
      </c>
    </row>
    <row r="27">
      <c r="A27" s="7">
        <v>45901.0</v>
      </c>
      <c r="B27" s="4">
        <v>0.0421093725909108</v>
      </c>
      <c r="C27" s="4">
        <v>0.00754292919471821</v>
      </c>
      <c r="D27" s="4">
        <v>1.0</v>
      </c>
    </row>
    <row r="28">
      <c r="A28" s="8">
        <v>45931.0</v>
      </c>
      <c r="B28" s="4">
        <v>0.0346288007647771</v>
      </c>
      <c r="C28" s="4">
        <v>0.0451422325698567</v>
      </c>
      <c r="D28" s="4">
        <v>0.0</v>
      </c>
    </row>
    <row r="29">
      <c r="A29" s="8">
        <v>45962.0</v>
      </c>
      <c r="B29" s="4">
        <v>0.0239012215614773</v>
      </c>
      <c r="C29" s="4">
        <v>0.0186940413107794</v>
      </c>
      <c r="D29" s="4">
        <v>1.0</v>
      </c>
    </row>
    <row r="30">
      <c r="A30" s="8">
        <v>45992.0</v>
      </c>
      <c r="B30" s="4">
        <v>0.024783700619829</v>
      </c>
      <c r="C30" s="4">
        <v>-0.00279930313189935</v>
      </c>
      <c r="D30" s="4">
        <v>1.0</v>
      </c>
    </row>
    <row r="31">
      <c r="A31" s="7">
        <v>46023.0</v>
      </c>
      <c r="B31" s="4">
        <v>-0.0192726798570477</v>
      </c>
      <c r="C31" s="4">
        <v>-0.0309591421223438</v>
      </c>
      <c r="D31" s="4">
        <v>1.0</v>
      </c>
    </row>
    <row r="32">
      <c r="A32" s="7">
        <v>46054.0</v>
      </c>
      <c r="B32" s="4">
        <v>0.0306288762082602</v>
      </c>
      <c r="C32" s="4">
        <v>-0.00560807088285653</v>
      </c>
      <c r="D32" s="4">
        <v>1.0</v>
      </c>
    </row>
    <row r="33">
      <c r="A33" s="7">
        <v>46082.0</v>
      </c>
      <c r="B33" s="4">
        <v>-0.143481510779503</v>
      </c>
      <c r="C33" s="4">
        <v>-0.113081916623806</v>
      </c>
      <c r="D33" s="4">
        <v>0.0</v>
      </c>
    </row>
    <row r="34">
      <c r="A34" s="7">
        <v>46113.0</v>
      </c>
      <c r="B34" s="4">
        <v>0.0853054506329309</v>
      </c>
      <c r="C34" s="4">
        <v>0.0746101901358624</v>
      </c>
      <c r="D34" s="4">
        <v>1.0</v>
      </c>
    </row>
    <row r="35">
      <c r="A35" s="7">
        <v>46143.0</v>
      </c>
      <c r="B35" s="4">
        <v>-0.0122676296454928</v>
      </c>
      <c r="C35" s="4">
        <v>-0.0187435800737991</v>
      </c>
      <c r="D35" s="4">
        <v>1.0</v>
      </c>
    </row>
    <row r="36">
      <c r="A36" s="7">
        <v>46174.0</v>
      </c>
      <c r="B36" s="4">
        <v>-0.0226528178560337</v>
      </c>
      <c r="C36" s="4">
        <v>0.0228450701234725</v>
      </c>
      <c r="D36" s="4">
        <v>0.0</v>
      </c>
    </row>
    <row r="37">
      <c r="C37" s="9" t="s">
        <v>15</v>
      </c>
      <c r="D37" s="10">
        <f>AVERAGE(D2:D36)</f>
        <v>0.6571428571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3" max="3" width="19.13"/>
    <col customWidth="1" min="4" max="4" width="16.75"/>
  </cols>
  <sheetData>
    <row r="1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7">
        <v>45658.0</v>
      </c>
      <c r="B2" s="4">
        <v>-0.049185697204513</v>
      </c>
      <c r="C2" s="4">
        <v>-0.0260428123528783</v>
      </c>
      <c r="D2" s="4">
        <v>-0.00576871024495861</v>
      </c>
      <c r="E2" s="11">
        <f t="shared" ref="E2:E18" si="1">IF(B2&gt;D2,1,0)</f>
        <v>0</v>
      </c>
    </row>
    <row r="3">
      <c r="A3" s="7">
        <v>45689.0</v>
      </c>
      <c r="B3" s="4">
        <v>0.0803142658700174</v>
      </c>
      <c r="C3" s="4">
        <v>0.0720241855156459</v>
      </c>
      <c r="D3" s="4">
        <v>-0.0588598118119481</v>
      </c>
      <c r="E3" s="11">
        <f t="shared" si="1"/>
        <v>1</v>
      </c>
    </row>
    <row r="4">
      <c r="A4" s="7">
        <v>45717.0</v>
      </c>
      <c r="B4" s="4">
        <v>0.0283409018348277</v>
      </c>
      <c r="C4" s="4">
        <v>0.0227122873979288</v>
      </c>
      <c r="D4" s="4">
        <v>0.0630358829724244</v>
      </c>
      <c r="E4" s="11">
        <f t="shared" si="1"/>
        <v>0</v>
      </c>
    </row>
    <row r="5">
      <c r="A5" s="7">
        <v>45748.0</v>
      </c>
      <c r="B5" s="4">
        <v>0.0341803189448349</v>
      </c>
      <c r="C5" s="4">
        <v>-6.04888293336702E-4</v>
      </c>
      <c r="D5" s="4">
        <v>0.0346459404702936</v>
      </c>
      <c r="E5" s="11">
        <f t="shared" si="1"/>
        <v>0</v>
      </c>
    </row>
    <row r="6">
      <c r="A6" s="7">
        <v>45778.0</v>
      </c>
      <c r="B6" s="4">
        <v>0.0415025661288581</v>
      </c>
      <c r="C6" s="4">
        <v>0.0286704798425999</v>
      </c>
      <c r="D6" s="4">
        <v>0.0171158287513046</v>
      </c>
      <c r="E6" s="11">
        <f t="shared" si="1"/>
        <v>1</v>
      </c>
    </row>
    <row r="7">
      <c r="A7" s="7">
        <v>45809.0</v>
      </c>
      <c r="B7" s="4">
        <v>-0.0194931427766862</v>
      </c>
      <c r="C7" s="4">
        <v>-0.0533518030685588</v>
      </c>
      <c r="D7" s="4">
        <v>0.0309627606491937</v>
      </c>
      <c r="E7" s="11">
        <f t="shared" si="1"/>
        <v>0</v>
      </c>
    </row>
    <row r="8">
      <c r="A8" s="7">
        <v>45839.0</v>
      </c>
      <c r="B8" s="4">
        <v>0.0301599880424799</v>
      </c>
      <c r="C8" s="4">
        <v>-0.0404410337020034</v>
      </c>
      <c r="D8" s="4">
        <v>-0.029341166004691</v>
      </c>
      <c r="E8" s="11">
        <f t="shared" si="1"/>
        <v>1</v>
      </c>
    </row>
    <row r="9">
      <c r="A9" s="7">
        <v>45870.0</v>
      </c>
      <c r="B9" s="4">
        <v>0.0105268627788393</v>
      </c>
      <c r="C9" s="4">
        <v>0.0421093725909108</v>
      </c>
      <c r="D9" s="4">
        <v>-0.0137877573596949</v>
      </c>
      <c r="E9" s="11">
        <f t="shared" si="1"/>
        <v>1</v>
      </c>
    </row>
    <row r="10">
      <c r="A10" s="7">
        <v>45901.0</v>
      </c>
      <c r="B10" s="4">
        <v>0.0317284791248948</v>
      </c>
      <c r="C10" s="4">
        <v>0.0346288007647771</v>
      </c>
      <c r="D10" s="4">
        <v>0.00754292919471821</v>
      </c>
      <c r="E10" s="11">
        <f t="shared" si="1"/>
        <v>1</v>
      </c>
    </row>
    <row r="11">
      <c r="A11" s="8">
        <v>45931.0</v>
      </c>
      <c r="B11" s="4">
        <v>0.0261110078356227</v>
      </c>
      <c r="C11" s="4">
        <v>0.0239012215614773</v>
      </c>
      <c r="D11" s="4">
        <v>0.0451422325698567</v>
      </c>
      <c r="E11" s="11">
        <f t="shared" si="1"/>
        <v>0</v>
      </c>
    </row>
    <row r="12">
      <c r="A12" s="8">
        <v>45962.0</v>
      </c>
      <c r="B12" s="4">
        <v>0.016720076459622</v>
      </c>
      <c r="C12" s="4">
        <v>0.024783700619829</v>
      </c>
      <c r="D12" s="4">
        <v>0.0186940413107794</v>
      </c>
      <c r="E12" s="11">
        <f t="shared" si="1"/>
        <v>0</v>
      </c>
    </row>
    <row r="13">
      <c r="A13" s="8">
        <v>45992.0</v>
      </c>
      <c r="B13" s="4">
        <v>-0.0224682680990418</v>
      </c>
      <c r="C13" s="4">
        <v>-0.0192726798570477</v>
      </c>
      <c r="D13" s="4">
        <v>-0.00279930313189935</v>
      </c>
      <c r="E13" s="11">
        <f t="shared" si="1"/>
        <v>0</v>
      </c>
    </row>
    <row r="14">
      <c r="A14" s="7">
        <v>46023.0</v>
      </c>
      <c r="B14" s="4">
        <v>-0.0312098132116784</v>
      </c>
      <c r="C14" s="4">
        <v>0.0306288762082602</v>
      </c>
      <c r="D14" s="4">
        <v>-0.0309591421223438</v>
      </c>
      <c r="E14" s="11">
        <f t="shared" si="1"/>
        <v>0</v>
      </c>
    </row>
    <row r="15">
      <c r="A15" s="7">
        <v>46054.0</v>
      </c>
      <c r="B15" s="4">
        <v>-0.106767175327722</v>
      </c>
      <c r="C15" s="4">
        <v>-0.143481510779503</v>
      </c>
      <c r="D15" s="4">
        <v>-0.00560807088285653</v>
      </c>
      <c r="E15" s="11">
        <f t="shared" si="1"/>
        <v>0</v>
      </c>
    </row>
    <row r="16">
      <c r="A16" s="7">
        <v>46082.0</v>
      </c>
      <c r="B16" s="4">
        <v>0.0404716809922395</v>
      </c>
      <c r="C16" s="4">
        <v>0.0853054506329309</v>
      </c>
      <c r="D16" s="4">
        <v>-0.113081916623806</v>
      </c>
      <c r="E16" s="11">
        <f t="shared" si="1"/>
        <v>1</v>
      </c>
    </row>
    <row r="17">
      <c r="A17" s="7">
        <v>46113.0</v>
      </c>
      <c r="B17" s="4">
        <v>-0.0169725643972922</v>
      </c>
      <c r="C17" s="4">
        <v>-0.0122676296454928</v>
      </c>
      <c r="D17" s="4">
        <v>0.0746101901358624</v>
      </c>
      <c r="E17" s="11">
        <f t="shared" si="1"/>
        <v>0</v>
      </c>
    </row>
    <row r="18">
      <c r="A18" s="7">
        <v>46143.0</v>
      </c>
      <c r="B18" s="4">
        <v>0.0115270370592126</v>
      </c>
      <c r="C18" s="4">
        <v>-0.0226528178560337</v>
      </c>
      <c r="D18" s="4">
        <v>-0.0187435800737991</v>
      </c>
      <c r="E18" s="11">
        <f t="shared" si="1"/>
        <v>1</v>
      </c>
    </row>
    <row r="19">
      <c r="D19" s="12" t="s">
        <v>15</v>
      </c>
      <c r="E19" s="13">
        <f>SUM(E2:E18)/COUNTA(E2:E18)</f>
        <v>0.4117647059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16.75"/>
  </cols>
  <sheetData>
    <row r="1">
      <c r="A1" s="2" t="s">
        <v>21</v>
      </c>
      <c r="B1" s="2" t="s">
        <v>22</v>
      </c>
    </row>
    <row r="2">
      <c r="A2" s="4" t="s">
        <v>23</v>
      </c>
      <c r="B2" s="4">
        <v>20.0</v>
      </c>
    </row>
    <row r="3">
      <c r="A3" s="4" t="s">
        <v>24</v>
      </c>
      <c r="B3" s="4">
        <v>17.0</v>
      </c>
    </row>
    <row r="4">
      <c r="A4" s="4" t="s">
        <v>25</v>
      </c>
      <c r="B4" s="4">
        <v>16.0</v>
      </c>
    </row>
    <row r="5">
      <c r="A5" s="4" t="s">
        <v>26</v>
      </c>
      <c r="B5" s="4">
        <v>15.0</v>
      </c>
    </row>
    <row r="6">
      <c r="A6" s="4" t="s">
        <v>27</v>
      </c>
      <c r="B6" s="4">
        <v>14.0</v>
      </c>
    </row>
    <row r="7">
      <c r="A7" s="4" t="s">
        <v>28</v>
      </c>
      <c r="B7" s="4">
        <v>14.0</v>
      </c>
    </row>
    <row r="8">
      <c r="A8" s="4" t="s">
        <v>29</v>
      </c>
      <c r="B8" s="4">
        <v>13.0</v>
      </c>
    </row>
    <row r="9">
      <c r="A9" s="4" t="s">
        <v>30</v>
      </c>
      <c r="B9" s="4">
        <v>13.0</v>
      </c>
    </row>
    <row r="10">
      <c r="A10" s="4" t="s">
        <v>31</v>
      </c>
      <c r="B10" s="4">
        <v>12.0</v>
      </c>
    </row>
    <row r="11">
      <c r="A11" s="4" t="s">
        <v>32</v>
      </c>
      <c r="B11" s="4">
        <v>12.0</v>
      </c>
    </row>
    <row r="12">
      <c r="A12" s="4" t="s">
        <v>33</v>
      </c>
      <c r="B12" s="4">
        <v>12.0</v>
      </c>
    </row>
    <row r="13">
      <c r="A13" s="4" t="s">
        <v>34</v>
      </c>
      <c r="B13" s="4">
        <v>12.0</v>
      </c>
    </row>
    <row r="14">
      <c r="A14" s="4" t="s">
        <v>35</v>
      </c>
      <c r="B14" s="4">
        <v>11.0</v>
      </c>
    </row>
    <row r="15">
      <c r="A15" s="4" t="s">
        <v>36</v>
      </c>
      <c r="B15" s="4">
        <v>11.0</v>
      </c>
    </row>
    <row r="16">
      <c r="A16" s="4" t="s">
        <v>37</v>
      </c>
      <c r="B16" s="4">
        <v>11.0</v>
      </c>
    </row>
    <row r="17">
      <c r="A17" s="4" t="s">
        <v>38</v>
      </c>
      <c r="B17" s="4">
        <v>9.0</v>
      </c>
    </row>
    <row r="18">
      <c r="A18" s="4" t="s">
        <v>39</v>
      </c>
      <c r="B18" s="4">
        <v>8.0</v>
      </c>
    </row>
    <row r="19">
      <c r="A19" s="4" t="s">
        <v>40</v>
      </c>
      <c r="B19" s="4">
        <v>8.0</v>
      </c>
    </row>
    <row r="20">
      <c r="A20" s="4" t="s">
        <v>41</v>
      </c>
      <c r="B20" s="4">
        <v>8.0</v>
      </c>
    </row>
    <row r="21">
      <c r="A21" s="4" t="s">
        <v>42</v>
      </c>
      <c r="B21" s="4">
        <v>7.0</v>
      </c>
    </row>
    <row r="22">
      <c r="A22" s="4" t="s">
        <v>43</v>
      </c>
      <c r="B22" s="4">
        <v>7.0</v>
      </c>
    </row>
    <row r="23">
      <c r="A23" s="4" t="s">
        <v>44</v>
      </c>
      <c r="B23" s="4">
        <v>7.0</v>
      </c>
    </row>
    <row r="24">
      <c r="A24" s="4" t="s">
        <v>45</v>
      </c>
      <c r="B24" s="4">
        <v>6.0</v>
      </c>
    </row>
    <row r="25">
      <c r="A25" s="4" t="s">
        <v>46</v>
      </c>
      <c r="B25" s="4">
        <v>6.0</v>
      </c>
    </row>
    <row r="26">
      <c r="A26" s="4" t="s">
        <v>47</v>
      </c>
      <c r="B26" s="4">
        <v>6.0</v>
      </c>
    </row>
    <row r="27">
      <c r="A27" s="4" t="s">
        <v>48</v>
      </c>
      <c r="B27" s="4">
        <v>6.0</v>
      </c>
    </row>
    <row r="28">
      <c r="A28" s="4" t="s">
        <v>49</v>
      </c>
      <c r="B28" s="4">
        <v>6.0</v>
      </c>
    </row>
    <row r="29">
      <c r="A29" s="4" t="s">
        <v>50</v>
      </c>
      <c r="B29" s="4">
        <v>6.0</v>
      </c>
    </row>
    <row r="30">
      <c r="A30" s="4" t="s">
        <v>51</v>
      </c>
      <c r="B30" s="4">
        <v>6.0</v>
      </c>
    </row>
    <row r="31">
      <c r="A31" s="4" t="s">
        <v>52</v>
      </c>
      <c r="B31" s="4">
        <v>5.0</v>
      </c>
    </row>
    <row r="32">
      <c r="A32" s="4" t="s">
        <v>53</v>
      </c>
      <c r="B32" s="4">
        <v>5.0</v>
      </c>
    </row>
    <row r="33">
      <c r="A33" s="4" t="s">
        <v>54</v>
      </c>
      <c r="B33" s="4">
        <v>5.0</v>
      </c>
    </row>
    <row r="34">
      <c r="A34" s="4" t="s">
        <v>55</v>
      </c>
      <c r="B34" s="4">
        <v>5.0</v>
      </c>
    </row>
    <row r="35">
      <c r="A35" s="4" t="s">
        <v>56</v>
      </c>
      <c r="B35" s="4">
        <v>4.0</v>
      </c>
    </row>
    <row r="36">
      <c r="A36" s="4" t="s">
        <v>57</v>
      </c>
      <c r="B36" s="4">
        <v>4.0</v>
      </c>
    </row>
    <row r="37">
      <c r="A37" s="4" t="s">
        <v>58</v>
      </c>
      <c r="B37" s="4">
        <v>4.0</v>
      </c>
    </row>
    <row r="38">
      <c r="A38" s="4" t="s">
        <v>59</v>
      </c>
      <c r="B38" s="4">
        <v>4.0</v>
      </c>
    </row>
    <row r="39">
      <c r="A39" s="4" t="s">
        <v>60</v>
      </c>
      <c r="B39" s="4">
        <v>4.0</v>
      </c>
    </row>
    <row r="40">
      <c r="A40" s="4" t="s">
        <v>61</v>
      </c>
      <c r="B40" s="4">
        <v>3.0</v>
      </c>
    </row>
    <row r="41">
      <c r="A41" s="4" t="s">
        <v>62</v>
      </c>
      <c r="B41" s="4">
        <v>3.0</v>
      </c>
    </row>
    <row r="42">
      <c r="A42" s="4" t="s">
        <v>63</v>
      </c>
      <c r="B42" s="4">
        <v>3.0</v>
      </c>
    </row>
    <row r="43">
      <c r="A43" s="4" t="s">
        <v>64</v>
      </c>
      <c r="B43" s="4">
        <v>2.0</v>
      </c>
    </row>
    <row r="44">
      <c r="A44" s="4" t="s">
        <v>65</v>
      </c>
      <c r="B44" s="4">
        <v>2.0</v>
      </c>
    </row>
    <row r="45">
      <c r="A45" s="4" t="s">
        <v>66</v>
      </c>
      <c r="B45" s="4">
        <v>2.0</v>
      </c>
    </row>
    <row r="46">
      <c r="A46" s="4" t="s">
        <v>67</v>
      </c>
      <c r="B46" s="4">
        <v>2.0</v>
      </c>
    </row>
    <row r="47">
      <c r="A47" s="4" t="s">
        <v>68</v>
      </c>
      <c r="B47" s="4">
        <v>2.0</v>
      </c>
    </row>
    <row r="48">
      <c r="A48" s="4" t="s">
        <v>69</v>
      </c>
      <c r="B48" s="4">
        <v>1.0</v>
      </c>
    </row>
    <row r="49">
      <c r="A49" s="4" t="s">
        <v>70</v>
      </c>
      <c r="B49" s="4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7" max="21" width="12.63"/>
  </cols>
  <sheetData>
    <row r="32">
      <c r="Q32" s="14"/>
    </row>
  </sheetData>
  <mergeCells count="1">
    <mergeCell ref="Q32:U32"/>
  </mergeCells>
  <drawing r:id="rId1"/>
</worksheet>
</file>